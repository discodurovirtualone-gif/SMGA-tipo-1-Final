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gen2603\web\metodos\"/>
    </mc:Choice>
  </mc:AlternateContent>
  <xr:revisionPtr revIDLastSave="0" documentId="8_{6D6CD6D4-7FB5-4CB3-A40B-71A4FB1C77C0}" xr6:coauthVersionLast="47" xr6:coauthVersionMax="47" xr10:uidLastSave="{00000000-0000-0000-0000-000000000000}"/>
  <bookViews>
    <workbookView xWindow="-108" yWindow="-108" windowWidth="23256" windowHeight="12456" xr2:uid="{0409B248-D53B-47E6-BFFC-FFCA83F8171A}"/>
  </bookViews>
  <sheets>
    <sheet name="ejinter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L31" i="2"/>
  <c r="L32" i="2" s="1"/>
  <c r="G40" i="2" s="1"/>
  <c r="G41" i="2" s="1"/>
  <c r="E23" i="2"/>
  <c r="E25" i="2"/>
  <c r="E22" i="2"/>
  <c r="F23" i="2"/>
  <c r="E18" i="2"/>
  <c r="E20" i="2"/>
  <c r="E17" i="2"/>
  <c r="F18" i="2"/>
  <c r="E34" i="2"/>
  <c r="E36" i="2"/>
  <c r="E33" i="2"/>
  <c r="F34" i="2"/>
  <c r="E38" i="2"/>
  <c r="F38" i="2" s="1"/>
  <c r="E37" i="2"/>
  <c r="E19" i="2"/>
  <c r="E21" i="2"/>
  <c r="E24" i="2"/>
  <c r="E26" i="2"/>
  <c r="E27" i="2"/>
  <c r="E28" i="2"/>
  <c r="E29" i="2"/>
  <c r="E30" i="2"/>
  <c r="E31" i="2"/>
  <c r="E32" i="2"/>
  <c r="E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Bernardo Vargas</author>
  </authors>
  <commentList>
    <comment ref="B16" authorId="0" shapeId="0" xr:uid="{840178E8-C31C-4798-88BA-A36F728CD3FA}">
      <text>
        <r>
          <rPr>
            <b/>
            <sz val="8"/>
            <color indexed="81"/>
            <rFont val="Tahoma"/>
          </rPr>
          <t xml:space="preserve"> Día de la lactancia</t>
        </r>
      </text>
    </comment>
    <comment ref="C16" authorId="0" shapeId="0" xr:uid="{CD8B8187-0457-4D2D-8620-BF9090682AB2}">
      <text>
        <r>
          <rPr>
            <b/>
            <sz val="8"/>
            <color indexed="81"/>
            <rFont val="Tahoma"/>
          </rPr>
          <t xml:space="preserve"> Número secuencial de pesas reales </t>
        </r>
      </text>
    </comment>
    <comment ref="D16" authorId="0" shapeId="0" xr:uid="{01425C6F-3714-4749-9A71-D8443DCE5A3E}">
      <text>
        <r>
          <rPr>
            <b/>
            <sz val="8"/>
            <color indexed="81"/>
            <rFont val="Tahoma"/>
          </rPr>
          <t xml:space="preserve"> Producción real diaria medida en la finca</t>
        </r>
      </text>
    </comment>
    <comment ref="E16" authorId="0" shapeId="0" xr:uid="{28EB0EB1-8B9A-4EDF-93E0-F9D043BC6112}">
      <text>
        <r>
          <rPr>
            <b/>
            <sz val="8"/>
            <color indexed="81"/>
            <rFont val="Tahoma"/>
          </rPr>
          <t xml:space="preserve"> Producción teórica esperada según la curva estándar
(solo se utiliza para calcular factor de proyección)</t>
        </r>
      </text>
    </comment>
    <comment ref="F16" authorId="0" shapeId="0" xr:uid="{0981DBDF-5A80-494E-BF86-393C63291B50}">
      <text>
        <r>
          <rPr>
            <b/>
            <sz val="8"/>
            <color indexed="81"/>
            <rFont val="Tahoma"/>
          </rPr>
          <t xml:space="preserve"> Producción diaria estimada por interpolación (para los días donde no hay prod. real)</t>
        </r>
      </text>
    </comment>
    <comment ref="L28" authorId="0" shapeId="0" xr:uid="{D98C908C-B13A-49E9-A128-4A95FC5BCA50}">
      <text>
        <r>
          <rPr>
            <b/>
            <sz val="8"/>
            <color indexed="81"/>
            <rFont val="Tahoma"/>
          </rPr>
          <t xml:space="preserve"> Producción acumulada a día 201 según la lactancia estándar</t>
        </r>
      </text>
    </comment>
    <comment ref="L29" authorId="0" shapeId="0" xr:uid="{2713F73A-4343-4DBB-8995-62FBA49426FD}">
      <text>
        <r>
          <rPr>
            <b/>
            <sz val="8"/>
            <color indexed="81"/>
            <rFont val="Tahoma"/>
          </rPr>
          <t xml:space="preserve"> Producción esperada a 305 d según la lactancia estándar</t>
        </r>
      </text>
    </comment>
    <comment ref="L30" authorId="0" shapeId="0" xr:uid="{C8F0F908-0A82-41EA-8C50-7F3D53A6088F}">
      <text>
        <r>
          <rPr>
            <b/>
            <sz val="8"/>
            <color indexed="81"/>
            <rFont val="Tahoma"/>
          </rPr>
          <t xml:space="preserve"> Ultimo día registrado</t>
        </r>
      </text>
    </comment>
    <comment ref="L31" authorId="0" shapeId="0" xr:uid="{C129A438-97AE-431B-BE73-8679B43C9686}">
      <text>
        <r>
          <rPr>
            <b/>
            <sz val="8"/>
            <color indexed="81"/>
            <rFont val="Tahoma"/>
          </rPr>
          <t xml:space="preserve"> Producción diaria esperada al último día según la lactancia estándar</t>
        </r>
      </text>
    </comment>
    <comment ref="G39" authorId="0" shapeId="0" xr:uid="{99597E6E-2733-470B-9910-AA48CA9CE3BC}">
      <text>
        <r>
          <rPr>
            <b/>
            <sz val="8"/>
            <color indexed="81"/>
            <rFont val="Tahoma"/>
          </rPr>
          <t xml:space="preserve"> Producción acumulada (sumando producciones </t>
        </r>
        <r>
          <rPr>
            <b/>
            <sz val="8"/>
            <color indexed="10"/>
            <rFont val="Tahoma"/>
            <family val="2"/>
          </rPr>
          <t>reales</t>
        </r>
        <r>
          <rPr>
            <b/>
            <sz val="8"/>
            <color indexed="81"/>
            <rFont val="Tahoma"/>
          </rPr>
          <t xml:space="preserve"> o  </t>
        </r>
        <r>
          <rPr>
            <b/>
            <sz val="8"/>
            <color indexed="10"/>
            <rFont val="Tahoma"/>
            <family val="2"/>
          </rPr>
          <t>estimadas</t>
        </r>
        <r>
          <rPr>
            <b/>
            <sz val="8"/>
            <color indexed="81"/>
            <rFont val="Tahoma"/>
          </rPr>
          <t xml:space="preserve"> entre el día 1 y el presente día)</t>
        </r>
      </text>
    </comment>
    <comment ref="G40" authorId="0" shapeId="0" xr:uid="{7109DF54-65A9-4DB5-8C0D-2B9D1210EBC2}">
      <text>
        <r>
          <rPr>
            <b/>
            <sz val="8"/>
            <color indexed="81"/>
            <rFont val="Tahoma"/>
          </rPr>
          <t xml:space="preserve"> Factor de proyección correspondiente a una lactancia en progreso con 201 días</t>
        </r>
      </text>
    </comment>
  </commentList>
</comments>
</file>

<file path=xl/sharedStrings.xml><?xml version="1.0" encoding="utf-8"?>
<sst xmlns="http://schemas.openxmlformats.org/spreadsheetml/2006/main" count="43" uniqueCount="41">
  <si>
    <t>Acumulada</t>
  </si>
  <si>
    <t>Wood</t>
  </si>
  <si>
    <t>a</t>
  </si>
  <si>
    <t>b</t>
  </si>
  <si>
    <t>c</t>
  </si>
  <si>
    <t>Ejemplo de estimación de Producción a 305 d mediante interpolación no lineal y proyección de lactancia</t>
  </si>
  <si>
    <r>
      <t>(y=a * x</t>
    </r>
    <r>
      <rPr>
        <vertAlign val="superscript"/>
        <sz val="10"/>
        <rFont val="Trebuchet MS"/>
        <family val="2"/>
      </rPr>
      <t>b</t>
    </r>
    <r>
      <rPr>
        <sz val="10"/>
        <rFont val="Trebuchet MS"/>
        <family val="2"/>
      </rPr>
      <t xml:space="preserve"> *exp</t>
    </r>
    <r>
      <rPr>
        <vertAlign val="superscript"/>
        <sz val="10"/>
        <rFont val="Trebuchet MS"/>
        <family val="2"/>
      </rPr>
      <t>-cx</t>
    </r>
    <r>
      <rPr>
        <sz val="10"/>
        <rFont val="Trebuchet MS"/>
        <family val="2"/>
      </rPr>
      <t>)</t>
    </r>
  </si>
  <si>
    <t>vaca=</t>
  </si>
  <si>
    <t>xxx</t>
  </si>
  <si>
    <t>zona=</t>
  </si>
  <si>
    <t>nivel de producción=</t>
  </si>
  <si>
    <t>epoca de parto=</t>
  </si>
  <si>
    <t>(lluviosa)</t>
  </si>
  <si>
    <t>BP-MB Bosque Pluvial Montano Bajo</t>
  </si>
  <si>
    <t>edad al parto=</t>
  </si>
  <si>
    <t>años</t>
  </si>
  <si>
    <t>número de lactancia=</t>
  </si>
  <si>
    <t>Parámetros de la curva estándar correspondiente:</t>
  </si>
  <si>
    <t>No. de pesa</t>
  </si>
  <si>
    <t>lactancia  1 (terminada)</t>
  </si>
  <si>
    <t>lactancia  2 (terminada)</t>
  </si>
  <si>
    <t>Producción (no corregida) en anteriores lactancias</t>
  </si>
  <si>
    <t>kg</t>
  </si>
  <si>
    <t>P305 para 3ra lactancia (incompleta)=</t>
  </si>
  <si>
    <t>Factor de Proyección correspondiente</t>
  </si>
  <si>
    <t>Fórmula para obtener estimados diarios</t>
  </si>
  <si>
    <t>Yn=</t>
  </si>
  <si>
    <t>n=</t>
  </si>
  <si>
    <t>Y305=</t>
  </si>
  <si>
    <t>Ya=</t>
  </si>
  <si>
    <t xml:space="preserve">Cálculo de factor de proyección </t>
  </si>
  <si>
    <t>día (n)</t>
  </si>
  <si>
    <t>Real (x)</t>
  </si>
  <si>
    <t>P305</t>
  </si>
  <si>
    <t>Factor de Proyección correspondiente =</t>
  </si>
  <si>
    <t>Producción alta dentro de su raza</t>
  </si>
  <si>
    <t>Curva Estandar</t>
  </si>
  <si>
    <t>Estimados Diarios (Y)</t>
  </si>
  <si>
    <t>raza=</t>
  </si>
  <si>
    <t>(Holstein)</t>
  </si>
  <si>
    <t>(El mismo método de interpolación se utiliza para cálculo de componentes de leche)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</si>
</sst>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0"/>
      <name val="Arial"/>
    </font>
    <font>
      <i/>
      <sz val="10"/>
      <name val="Arial"/>
      <family val="2"/>
    </font>
    <font>
      <sz val="10"/>
      <color indexed="8"/>
      <name val="Trebuchet MS"/>
      <family val="2"/>
    </font>
    <font>
      <b/>
      <sz val="8"/>
      <color indexed="81"/>
      <name val="Tahoma"/>
    </font>
    <font>
      <sz val="10"/>
      <name val="Trebuchet MS"/>
      <family val="2"/>
    </font>
    <font>
      <b/>
      <sz val="10"/>
      <color indexed="10"/>
      <name val="Trebuchet MS"/>
      <family val="2"/>
    </font>
    <font>
      <vertAlign val="superscript"/>
      <sz val="10"/>
      <name val="Trebuchet MS"/>
      <family val="2"/>
    </font>
    <font>
      <u/>
      <sz val="10"/>
      <name val="Trebuchet MS"/>
      <family val="2"/>
    </font>
    <font>
      <i/>
      <sz val="10"/>
      <name val="Trebuchet MS"/>
      <family val="2"/>
    </font>
    <font>
      <sz val="12"/>
      <name val="Trebuchet MS"/>
      <family val="2"/>
    </font>
    <font>
      <b/>
      <sz val="12"/>
      <name val="Trebuchet MS"/>
      <family val="2"/>
    </font>
    <font>
      <sz val="10"/>
      <color indexed="12"/>
      <name val="Trebuchet MS"/>
      <family val="2"/>
    </font>
    <font>
      <sz val="8"/>
      <name val="Arial"/>
    </font>
    <font>
      <u/>
      <sz val="10"/>
      <color indexed="12"/>
      <name val="Arial"/>
    </font>
    <font>
      <sz val="10"/>
      <name val="Arial"/>
    </font>
    <font>
      <b/>
      <sz val="8"/>
      <color indexed="10"/>
      <name val="Tahoma"/>
      <family val="2"/>
    </font>
    <font>
      <b/>
      <i/>
      <sz val="10"/>
      <color indexed="16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164" fontId="4" fillId="0" borderId="5" xfId="0" applyNumberFormat="1" applyFont="1" applyBorder="1" applyAlignment="1">
      <alignment horizontal="right" vertical="top" wrapText="1"/>
    </xf>
    <xf numFmtId="164" fontId="4" fillId="0" borderId="0" xfId="0" applyNumberFormat="1" applyFont="1" applyAlignment="1">
      <alignment horizontal="center"/>
    </xf>
    <xf numFmtId="164" fontId="1" fillId="3" borderId="0" xfId="0" applyNumberFormat="1" applyFont="1" applyFill="1"/>
    <xf numFmtId="0" fontId="4" fillId="0" borderId="0" xfId="0" applyFont="1" applyAlignment="1">
      <alignment horizontal="right"/>
    </xf>
    <xf numFmtId="0" fontId="9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164" fontId="4" fillId="3" borderId="0" xfId="0" applyNumberFormat="1" applyFont="1" applyFill="1" applyAlignment="1">
      <alignment horizontal="right" wrapText="1"/>
    </xf>
    <xf numFmtId="0" fontId="13" fillId="0" borderId="0" xfId="1" applyAlignment="1" applyProtection="1"/>
    <xf numFmtId="0" fontId="4" fillId="0" borderId="7" xfId="0" applyFont="1" applyBorder="1" applyAlignment="1">
      <alignment horizontal="right" vertical="top"/>
    </xf>
    <xf numFmtId="164" fontId="10" fillId="4" borderId="8" xfId="0" applyNumberFormat="1" applyFont="1" applyFill="1" applyBorder="1" applyAlignment="1">
      <alignment horizontal="right" vertical="top"/>
    </xf>
    <xf numFmtId="0" fontId="4" fillId="0" borderId="5" xfId="0" applyFont="1" applyBorder="1"/>
    <xf numFmtId="165" fontId="4" fillId="5" borderId="2" xfId="0" applyNumberFormat="1" applyFont="1" applyFill="1" applyBorder="1"/>
    <xf numFmtId="165" fontId="4" fillId="5" borderId="0" xfId="0" applyNumberFormat="1" applyFont="1" applyFill="1"/>
    <xf numFmtId="165" fontId="4" fillId="5" borderId="7" xfId="0" applyNumberFormat="1" applyFont="1" applyFill="1" applyBorder="1"/>
    <xf numFmtId="165" fontId="8" fillId="6" borderId="5" xfId="0" applyNumberFormat="1" applyFont="1" applyFill="1" applyBorder="1" applyAlignment="1">
      <alignment horizontal="right" vertical="top"/>
    </xf>
    <xf numFmtId="0" fontId="4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/>
    <xf numFmtId="0" fontId="4" fillId="6" borderId="0" xfId="0" applyFont="1" applyFill="1"/>
    <xf numFmtId="0" fontId="4" fillId="6" borderId="5" xfId="0" applyFont="1" applyFill="1" applyBorder="1"/>
    <xf numFmtId="0" fontId="4" fillId="6" borderId="0" xfId="0" applyFont="1" applyFill="1" applyAlignment="1">
      <alignment horizontal="right"/>
    </xf>
    <xf numFmtId="164" fontId="4" fillId="6" borderId="5" xfId="0" applyNumberFormat="1" applyFont="1" applyFill="1" applyBorder="1"/>
    <xf numFmtId="2" fontId="4" fillId="6" borderId="5" xfId="0" applyNumberFormat="1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4" fillId="6" borderId="7" xfId="0" applyFont="1" applyFill="1" applyBorder="1" applyAlignment="1">
      <alignment horizontal="right"/>
    </xf>
    <xf numFmtId="165" fontId="4" fillId="6" borderId="8" xfId="0" applyNumberFormat="1" applyFont="1" applyFill="1" applyBorder="1"/>
    <xf numFmtId="0" fontId="5" fillId="6" borderId="0" xfId="0" applyFont="1" applyFill="1"/>
    <xf numFmtId="0" fontId="7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" fontId="14" fillId="4" borderId="0" xfId="0" applyNumberFormat="1" applyFont="1" applyFill="1" applyAlignment="1">
      <alignment horizontal="right"/>
    </xf>
    <xf numFmtId="0" fontId="2" fillId="0" borderId="0" xfId="0" applyFont="1"/>
    <xf numFmtId="0" fontId="1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8639364484084"/>
          <c:y val="9.3297320301008638E-2"/>
          <c:w val="0.83963415292005161"/>
          <c:h val="0.65891232462587346"/>
        </c:manualLayout>
      </c:layout>
      <c:scatterChart>
        <c:scatterStyle val="lineMarker"/>
        <c:varyColors val="0"/>
        <c:ser>
          <c:idx val="0"/>
          <c:order val="0"/>
          <c:tx>
            <c:strRef>
              <c:f>ejinterp!$D$16</c:f>
              <c:strCache>
                <c:ptCount val="1"/>
                <c:pt idx="0">
                  <c:v>Real (x)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ejinterp!$B$17:$B$39</c:f>
              <c:numCache>
                <c:formatCode>General</c:formatCode>
                <c:ptCount val="23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33</c:v>
                </c:pt>
                <c:pt idx="6">
                  <c:v>37</c:v>
                </c:pt>
                <c:pt idx="7">
                  <c:v>40</c:v>
                </c:pt>
                <c:pt idx="8">
                  <c:v>47</c:v>
                </c:pt>
                <c:pt idx="9">
                  <c:v>54</c:v>
                </c:pt>
                <c:pt idx="10">
                  <c:v>68</c:v>
                </c:pt>
                <c:pt idx="11">
                  <c:v>75</c:v>
                </c:pt>
                <c:pt idx="12">
                  <c:v>82</c:v>
                </c:pt>
                <c:pt idx="13">
                  <c:v>89</c:v>
                </c:pt>
                <c:pt idx="14">
                  <c:v>110</c:v>
                </c:pt>
                <c:pt idx="15">
                  <c:v>117</c:v>
                </c:pt>
                <c:pt idx="16">
                  <c:v>124</c:v>
                </c:pt>
                <c:pt idx="17">
                  <c:v>127</c:v>
                </c:pt>
                <c:pt idx="18">
                  <c:v>131</c:v>
                </c:pt>
                <c:pt idx="19">
                  <c:v>159</c:v>
                </c:pt>
                <c:pt idx="20">
                  <c:v>173</c:v>
                </c:pt>
                <c:pt idx="21">
                  <c:v>190</c:v>
                </c:pt>
                <c:pt idx="22">
                  <c:v>201</c:v>
                </c:pt>
              </c:numCache>
            </c:numRef>
          </c:xVal>
          <c:yVal>
            <c:numRef>
              <c:f>ejinterp!$D$17:$D$39</c:f>
              <c:numCache>
                <c:formatCode>0.0</c:formatCode>
                <c:ptCount val="23"/>
                <c:pt idx="0">
                  <c:v>27</c:v>
                </c:pt>
                <c:pt idx="2">
                  <c:v>35</c:v>
                </c:pt>
                <c:pt idx="3">
                  <c:v>32</c:v>
                </c:pt>
                <c:pt idx="4">
                  <c:v>36</c:v>
                </c:pt>
                <c:pt idx="5">
                  <c:v>43</c:v>
                </c:pt>
                <c:pt idx="7">
                  <c:v>47</c:v>
                </c:pt>
                <c:pt idx="8">
                  <c:v>44</c:v>
                </c:pt>
                <c:pt idx="9">
                  <c:v>50</c:v>
                </c:pt>
                <c:pt idx="10">
                  <c:v>37</c:v>
                </c:pt>
                <c:pt idx="11">
                  <c:v>44</c:v>
                </c:pt>
                <c:pt idx="12">
                  <c:v>42</c:v>
                </c:pt>
                <c:pt idx="13">
                  <c:v>49</c:v>
                </c:pt>
                <c:pt idx="14">
                  <c:v>45</c:v>
                </c:pt>
                <c:pt idx="15">
                  <c:v>39</c:v>
                </c:pt>
                <c:pt idx="16">
                  <c:v>32</c:v>
                </c:pt>
                <c:pt idx="18">
                  <c:v>45</c:v>
                </c:pt>
                <c:pt idx="19">
                  <c:v>42</c:v>
                </c:pt>
                <c:pt idx="20">
                  <c:v>41</c:v>
                </c:pt>
                <c:pt idx="22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D-4A35-800E-8E5B51F2605F}"/>
            </c:ext>
          </c:extLst>
        </c:ser>
        <c:ser>
          <c:idx val="1"/>
          <c:order val="1"/>
          <c:tx>
            <c:strRef>
              <c:f>ejinterp!$E$16</c:f>
              <c:strCache>
                <c:ptCount val="1"/>
                <c:pt idx="0">
                  <c:v>Curva Estandar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ejinterp!$B$17:$B$39</c:f>
              <c:numCache>
                <c:formatCode>General</c:formatCode>
                <c:ptCount val="23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33</c:v>
                </c:pt>
                <c:pt idx="6">
                  <c:v>37</c:v>
                </c:pt>
                <c:pt idx="7">
                  <c:v>40</c:v>
                </c:pt>
                <c:pt idx="8">
                  <c:v>47</c:v>
                </c:pt>
                <c:pt idx="9">
                  <c:v>54</c:v>
                </c:pt>
                <c:pt idx="10">
                  <c:v>68</c:v>
                </c:pt>
                <c:pt idx="11">
                  <c:v>75</c:v>
                </c:pt>
                <c:pt idx="12">
                  <c:v>82</c:v>
                </c:pt>
                <c:pt idx="13">
                  <c:v>89</c:v>
                </c:pt>
                <c:pt idx="14">
                  <c:v>110</c:v>
                </c:pt>
                <c:pt idx="15">
                  <c:v>117</c:v>
                </c:pt>
                <c:pt idx="16">
                  <c:v>124</c:v>
                </c:pt>
                <c:pt idx="17">
                  <c:v>127</c:v>
                </c:pt>
                <c:pt idx="18">
                  <c:v>131</c:v>
                </c:pt>
                <c:pt idx="19">
                  <c:v>159</c:v>
                </c:pt>
                <c:pt idx="20">
                  <c:v>173</c:v>
                </c:pt>
                <c:pt idx="21">
                  <c:v>190</c:v>
                </c:pt>
                <c:pt idx="22">
                  <c:v>201</c:v>
                </c:pt>
              </c:numCache>
            </c:numRef>
          </c:xVal>
          <c:yVal>
            <c:numRef>
              <c:f>ejinterp!$E$17:$E$39</c:f>
              <c:numCache>
                <c:formatCode>0.00</c:formatCode>
                <c:ptCount val="23"/>
                <c:pt idx="0">
                  <c:v>24.098355795255429</c:v>
                </c:pt>
                <c:pt idx="1">
                  <c:v>28.724829085867231</c:v>
                </c:pt>
                <c:pt idx="2">
                  <c:v>29.987264915614794</c:v>
                </c:pt>
                <c:pt idx="3">
                  <c:v>33.117927272757363</c:v>
                </c:pt>
                <c:pt idx="4">
                  <c:v>35.076344646017787</c:v>
                </c:pt>
                <c:pt idx="5">
                  <c:v>36.357184781834682</c:v>
                </c:pt>
                <c:pt idx="6">
                  <c:v>36.878357479597412</c:v>
                </c:pt>
                <c:pt idx="7">
                  <c:v>37.190324688490769</c:v>
                </c:pt>
                <c:pt idx="8">
                  <c:v>37.704601455769634</c:v>
                </c:pt>
                <c:pt idx="9">
                  <c:v>37.980780497076026</c:v>
                </c:pt>
                <c:pt idx="10">
                  <c:v>38.021429247344543</c:v>
                </c:pt>
                <c:pt idx="11">
                  <c:v>37.853631896657838</c:v>
                </c:pt>
                <c:pt idx="12">
                  <c:v>37.592098016572052</c:v>
                </c:pt>
                <c:pt idx="13">
                  <c:v>37.254118596391422</c:v>
                </c:pt>
                <c:pt idx="14">
                  <c:v>35.907306208700611</c:v>
                </c:pt>
                <c:pt idx="15">
                  <c:v>35.378614548662071</c:v>
                </c:pt>
                <c:pt idx="16">
                  <c:v>34.821865350415592</c:v>
                </c:pt>
                <c:pt idx="17">
                  <c:v>34.576050180962319</c:v>
                </c:pt>
                <c:pt idx="18">
                  <c:v>34.242507064896664</c:v>
                </c:pt>
                <c:pt idx="19">
                  <c:v>31.782324961468838</c:v>
                </c:pt>
                <c:pt idx="20">
                  <c:v>30.510022286888923</c:v>
                </c:pt>
                <c:pt idx="21">
                  <c:v>28.96066913713431</c:v>
                </c:pt>
                <c:pt idx="22">
                  <c:v>27.965248417969292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AD-4A35-800E-8E5B51F2605F}"/>
            </c:ext>
          </c:extLst>
        </c:ser>
        <c:ser>
          <c:idx val="2"/>
          <c:order val="2"/>
          <c:tx>
            <c:strRef>
              <c:f>ejinterp!$F$16</c:f>
              <c:strCache>
                <c:ptCount val="1"/>
                <c:pt idx="0">
                  <c:v>Estimados Diarios (Y)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ejinterp!$B$17:$B$39</c:f>
              <c:numCache>
                <c:formatCode>General</c:formatCode>
                <c:ptCount val="23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19</c:v>
                </c:pt>
                <c:pt idx="4">
                  <c:v>26</c:v>
                </c:pt>
                <c:pt idx="5">
                  <c:v>33</c:v>
                </c:pt>
                <c:pt idx="6">
                  <c:v>37</c:v>
                </c:pt>
                <c:pt idx="7">
                  <c:v>40</c:v>
                </c:pt>
                <c:pt idx="8">
                  <c:v>47</c:v>
                </c:pt>
                <c:pt idx="9">
                  <c:v>54</c:v>
                </c:pt>
                <c:pt idx="10">
                  <c:v>68</c:v>
                </c:pt>
                <c:pt idx="11">
                  <c:v>75</c:v>
                </c:pt>
                <c:pt idx="12">
                  <c:v>82</c:v>
                </c:pt>
                <c:pt idx="13">
                  <c:v>89</c:v>
                </c:pt>
                <c:pt idx="14">
                  <c:v>110</c:v>
                </c:pt>
                <c:pt idx="15">
                  <c:v>117</c:v>
                </c:pt>
                <c:pt idx="16">
                  <c:v>124</c:v>
                </c:pt>
                <c:pt idx="17">
                  <c:v>127</c:v>
                </c:pt>
                <c:pt idx="18">
                  <c:v>131</c:v>
                </c:pt>
                <c:pt idx="19">
                  <c:v>159</c:v>
                </c:pt>
                <c:pt idx="20">
                  <c:v>173</c:v>
                </c:pt>
                <c:pt idx="21">
                  <c:v>190</c:v>
                </c:pt>
                <c:pt idx="22">
                  <c:v>201</c:v>
                </c:pt>
              </c:numCache>
            </c:numRef>
          </c:xVal>
          <c:yVal>
            <c:numRef>
              <c:f>ejinterp!$F$17:$F$39</c:f>
              <c:numCache>
                <c:formatCode>0.0</c:formatCode>
                <c:ptCount val="23"/>
                <c:pt idx="1">
                  <c:v>30.190912048646826</c:v>
                </c:pt>
                <c:pt idx="6">
                  <c:v>43.421910790924173</c:v>
                </c:pt>
                <c:pt idx="17">
                  <c:v>32.871859721027874</c:v>
                </c:pt>
                <c:pt idx="21">
                  <c:v>40.481453908759192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AD-4A35-800E-8E5B51F26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80336"/>
        <c:axId val="1"/>
      </c:scatterChart>
      <c:valAx>
        <c:axId val="83088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08803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876123359307021"/>
          <c:y val="0.89507116663780151"/>
          <c:w val="0.7332477592752108"/>
          <c:h val="7.87196140039760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2</xdr:row>
      <xdr:rowOff>22860</xdr:rowOff>
    </xdr:from>
    <xdr:to>
      <xdr:col>15</xdr:col>
      <xdr:colOff>175260</xdr:colOff>
      <xdr:row>18</xdr:row>
      <xdr:rowOff>83820</xdr:rowOff>
    </xdr:to>
    <xdr:graphicFrame macro="">
      <xdr:nvGraphicFramePr>
        <xdr:cNvPr id="2049" name="Gráfico 1">
          <a:extLst>
            <a:ext uri="{FF2B5EF4-FFF2-40B4-BE49-F238E27FC236}">
              <a16:creationId xmlns:a16="http://schemas.microsoft.com/office/drawing/2014/main" id="{B2C31274-EB8A-CD49-CD1C-F5237D679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22</xdr:row>
      <xdr:rowOff>83820</xdr:rowOff>
    </xdr:from>
    <xdr:to>
      <xdr:col>8</xdr:col>
      <xdr:colOff>45720</xdr:colOff>
      <xdr:row>22</xdr:row>
      <xdr:rowOff>91440</xdr:rowOff>
    </xdr:to>
    <xdr:sp macro="" textlink="">
      <xdr:nvSpPr>
        <xdr:cNvPr id="2064" name="Line 16">
          <a:extLst>
            <a:ext uri="{FF2B5EF4-FFF2-40B4-BE49-F238E27FC236}">
              <a16:creationId xmlns:a16="http://schemas.microsoft.com/office/drawing/2014/main" id="{56D9F47D-638C-28B6-56E9-8799DED20F27}"/>
            </a:ext>
          </a:extLst>
        </xdr:cNvPr>
        <xdr:cNvSpPr>
          <a:spLocks noChangeShapeType="1"/>
        </xdr:cNvSpPr>
      </xdr:nvSpPr>
      <xdr:spPr bwMode="auto">
        <a:xfrm flipH="1" flipV="1">
          <a:off x="4015740" y="4396740"/>
          <a:ext cx="153162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243840</xdr:colOff>
      <xdr:row>21</xdr:row>
      <xdr:rowOff>91440</xdr:rowOff>
    </xdr:from>
    <xdr:to>
      <xdr:col>6</xdr:col>
      <xdr:colOff>76200</xdr:colOff>
      <xdr:row>23</xdr:row>
      <xdr:rowOff>76200</xdr:rowOff>
    </xdr:to>
    <xdr:sp macro="" textlink="">
      <xdr:nvSpPr>
        <xdr:cNvPr id="2065" name="Oval 17">
          <a:extLst>
            <a:ext uri="{FF2B5EF4-FFF2-40B4-BE49-F238E27FC236}">
              <a16:creationId xmlns:a16="http://schemas.microsoft.com/office/drawing/2014/main" id="{2D79B494-ADB0-F17D-2901-66BB8ADF8DB0}"/>
            </a:ext>
          </a:extLst>
        </xdr:cNvPr>
        <xdr:cNvSpPr>
          <a:spLocks noChangeArrowheads="1"/>
        </xdr:cNvSpPr>
      </xdr:nvSpPr>
      <xdr:spPr bwMode="auto">
        <a:xfrm>
          <a:off x="3398520" y="4221480"/>
          <a:ext cx="617220" cy="35052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8</xdr:col>
      <xdr:colOff>129540</xdr:colOff>
      <xdr:row>27</xdr:row>
      <xdr:rowOff>55245</xdr:rowOff>
    </xdr:from>
    <xdr:to>
      <xdr:col>10</xdr:col>
      <xdr:colOff>85420</xdr:colOff>
      <xdr:row>29</xdr:row>
      <xdr:rowOff>138097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10">
              <a:extLst>
                <a:ext uri="{FF2B5EF4-FFF2-40B4-BE49-F238E27FC236}">
                  <a16:creationId xmlns:a16="http://schemas.microsoft.com/office/drawing/2014/main" id="{871B0E4C-0F9F-9D44-F151-CA798EA9C42C}"/>
                </a:ext>
              </a:extLst>
            </xdr:cNvPr>
            <xdr:cNvSpPr txBox="1"/>
          </xdr:nvSpPr>
          <xdr:spPr>
            <a:xfrm>
              <a:off x="5625465" y="5255895"/>
              <a:ext cx="1517980" cy="4448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𝐹𝑃</m:t>
                        </m:r>
                      </m:e>
                      <m:sub>
                        <m:r>
                          <a:rPr lang="es-MX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305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×(305−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2" name="Object 10">
              <a:extLst>
                <a:ext uri="{FF2B5EF4-FFF2-40B4-BE49-F238E27FC236}">
                  <a16:creationId xmlns:a16="http://schemas.microsoft.com/office/drawing/2014/main" id="{871B0E4C-0F9F-9D44-F151-CA798EA9C42C}"/>
                </a:ext>
              </a:extLst>
            </xdr:cNvPr>
            <xdr:cNvSpPr txBox="1"/>
          </xdr:nvSpPr>
          <xdr:spPr>
            <a:xfrm>
              <a:off x="5625465" y="5255895"/>
              <a:ext cx="1517980" cy="44480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〖</a:t>
              </a:r>
              <a:r>
                <a:rPr lang="es-MX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𝐹𝑃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〗_</a:t>
              </a:r>
              <a:r>
                <a:rPr lang="es-MX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𝑛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=((𝑌_305−𝑌_𝑎))/(𝑌_𝑛×(305−𝑛))</a:t>
              </a:r>
              <a:endParaRPr lang="en-US"/>
            </a:p>
          </xdr:txBody>
        </xdr:sp>
      </mc:Fallback>
    </mc:AlternateContent>
    <xdr:clientData/>
  </xdr:twoCellAnchor>
  <xdr:twoCellAnchor>
    <xdr:from>
      <xdr:col>7</xdr:col>
      <xdr:colOff>331470</xdr:colOff>
      <xdr:row>39</xdr:row>
      <xdr:rowOff>91440</xdr:rowOff>
    </xdr:from>
    <xdr:to>
      <xdr:col>10</xdr:col>
      <xdr:colOff>483106</xdr:colOff>
      <xdr:row>42</xdr:row>
      <xdr:rowOff>74387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Object 11">
              <a:extLst>
                <a:ext uri="{FF2B5EF4-FFF2-40B4-BE49-F238E27FC236}">
                  <a16:creationId xmlns:a16="http://schemas.microsoft.com/office/drawing/2014/main" id="{1E4569EA-E115-F586-9C55-327710A1E3C9}"/>
                </a:ext>
              </a:extLst>
            </xdr:cNvPr>
            <xdr:cNvSpPr txBox="1"/>
          </xdr:nvSpPr>
          <xdr:spPr>
            <a:xfrm>
              <a:off x="5046345" y="7473315"/>
              <a:ext cx="2494786" cy="554447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305=</m:t>
                    </m:r>
                    <m:nary>
                      <m:naryPr>
                        <m:chr m:val="∑"/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×(305−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3" name="Object 11">
              <a:extLst>
                <a:ext uri="{FF2B5EF4-FFF2-40B4-BE49-F238E27FC236}">
                  <a16:creationId xmlns:a16="http://schemas.microsoft.com/office/drawing/2014/main" id="{1E4569EA-E115-F586-9C55-327710A1E3C9}"/>
                </a:ext>
              </a:extLst>
            </xdr:cNvPr>
            <xdr:cNvSpPr txBox="1"/>
          </xdr:nvSpPr>
          <xdr:spPr>
            <a:xfrm>
              <a:off x="5046345" y="7473315"/>
              <a:ext cx="2494786" cy="554447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𝑃305=∑24_(𝑖=1)^𝑛▒𝑌_𝑖 +𝐹𝑃_𝑛×𝑌_𝑛×(305−𝑛)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8</xdr:col>
      <xdr:colOff>125730</xdr:colOff>
      <xdr:row>21</xdr:row>
      <xdr:rowOff>64770</xdr:rowOff>
    </xdr:from>
    <xdr:to>
      <xdr:col>11</xdr:col>
      <xdr:colOff>454850</xdr:colOff>
      <xdr:row>23</xdr:row>
      <xdr:rowOff>153713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14">
              <a:extLst>
                <a:ext uri="{FF2B5EF4-FFF2-40B4-BE49-F238E27FC236}">
                  <a16:creationId xmlns:a16="http://schemas.microsoft.com/office/drawing/2014/main" id="{BEDC023A-A103-8EF7-EB90-CA928D45BB11}"/>
                </a:ext>
              </a:extLst>
            </xdr:cNvPr>
            <xdr:cNvSpPr txBox="1"/>
          </xdr:nvSpPr>
          <xdr:spPr>
            <a:xfrm>
              <a:off x="5621655" y="4170045"/>
              <a:ext cx="2672270" cy="450893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sub>
                            </m:s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−(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)×(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)+(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4" name="Object 14">
              <a:extLst>
                <a:ext uri="{FF2B5EF4-FFF2-40B4-BE49-F238E27FC236}">
                  <a16:creationId xmlns:a16="http://schemas.microsoft.com/office/drawing/2014/main" id="{BEDC023A-A103-8EF7-EB90-CA928D45BB11}"/>
                </a:ext>
              </a:extLst>
            </xdr:cNvPr>
            <xdr:cNvSpPr txBox="1"/>
          </xdr:nvSpPr>
          <xdr:spPr>
            <a:xfrm>
              <a:off x="5621655" y="4170045"/>
              <a:ext cx="2672270" cy="450893"/>
            </a:xfrm>
            <a:prstGeom prst="rect">
              <a:avLst/>
            </a:prstGeom>
            <a:solidFill>
              <a:schemeClr val="bg1"/>
            </a:solidFill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𝑌_𝑒=𝑦+((𝑥_𝑠−𝑥_𝑖 )−(𝑦_𝑠−𝑦_𝑖))/((𝑛_𝑠−𝑛_𝑖)×(𝑛−𝑛_𝑖)+(𝑥_𝑖−𝑦_𝑖))</a:t>
              </a:r>
              <a:endParaRPr lang="en-US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zonvida.ht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4716-C4E2-459C-94C4-65B83D0B99A9}">
  <dimension ref="B1:L55"/>
  <sheetViews>
    <sheetView tabSelected="1" topLeftCell="A15" workbookViewId="0">
      <selection activeCell="M24" sqref="M24"/>
    </sheetView>
  </sheetViews>
  <sheetFormatPr baseColWidth="10" defaultColWidth="11.44140625" defaultRowHeight="14.4" x14ac:dyDescent="0.35"/>
  <cols>
    <col min="1" max="1" width="3.44140625" style="1" customWidth="1"/>
    <col min="2" max="3" width="11.44140625" style="1"/>
    <col min="4" max="4" width="9.5546875" style="1" customWidth="1"/>
    <col min="5" max="5" width="10.109375" style="1" customWidth="1"/>
    <col min="6" max="6" width="11.44140625" style="1"/>
    <col min="7" max="7" width="11.33203125" style="1" customWidth="1"/>
    <col min="8" max="16384" width="11.44140625" style="1"/>
  </cols>
  <sheetData>
    <row r="1" spans="2:7" s="2" customFormat="1" x14ac:dyDescent="0.35">
      <c r="B1" s="2" t="s">
        <v>5</v>
      </c>
    </row>
    <row r="2" spans="2:7" s="2" customFormat="1" x14ac:dyDescent="0.35">
      <c r="B2" s="57" t="s">
        <v>40</v>
      </c>
    </row>
    <row r="3" spans="2:7" s="2" customFormat="1" x14ac:dyDescent="0.35">
      <c r="C3" s="1"/>
      <c r="D3" s="24" t="s">
        <v>7</v>
      </c>
      <c r="E3" s="24" t="s">
        <v>8</v>
      </c>
    </row>
    <row r="4" spans="2:7" s="2" customFormat="1" x14ac:dyDescent="0.35">
      <c r="C4" s="1"/>
      <c r="D4" s="24" t="s">
        <v>38</v>
      </c>
      <c r="E4" s="24">
        <v>1</v>
      </c>
      <c r="F4" s="1" t="s">
        <v>39</v>
      </c>
    </row>
    <row r="5" spans="2:7" s="2" customFormat="1" x14ac:dyDescent="0.35">
      <c r="C5" s="1"/>
      <c r="D5" s="24" t="s">
        <v>9</v>
      </c>
      <c r="E5" s="55">
        <v>8</v>
      </c>
      <c r="F5" s="30" t="s">
        <v>13</v>
      </c>
    </row>
    <row r="6" spans="2:7" s="2" customFormat="1" x14ac:dyDescent="0.35">
      <c r="C6" s="1"/>
      <c r="D6" s="24" t="s">
        <v>10</v>
      </c>
      <c r="E6" s="24">
        <v>1</v>
      </c>
      <c r="F6" s="56" t="s">
        <v>35</v>
      </c>
    </row>
    <row r="7" spans="2:7" s="2" customFormat="1" x14ac:dyDescent="0.35">
      <c r="C7" s="1"/>
      <c r="D7" s="24" t="s">
        <v>11</v>
      </c>
      <c r="E7" s="1">
        <v>2</v>
      </c>
      <c r="F7" s="1" t="s">
        <v>12</v>
      </c>
    </row>
    <row r="8" spans="2:7" x14ac:dyDescent="0.35">
      <c r="D8" s="24" t="s">
        <v>14</v>
      </c>
      <c r="E8" s="1">
        <v>4</v>
      </c>
      <c r="F8" s="1" t="s">
        <v>15</v>
      </c>
    </row>
    <row r="9" spans="2:7" x14ac:dyDescent="0.35">
      <c r="D9" s="24" t="s">
        <v>16</v>
      </c>
      <c r="E9" s="1">
        <v>3</v>
      </c>
    </row>
    <row r="10" spans="2:7" x14ac:dyDescent="0.35">
      <c r="D10" s="24"/>
    </row>
    <row r="11" spans="2:7" ht="15" thickBot="1" x14ac:dyDescent="0.4">
      <c r="B11" s="1" t="s">
        <v>17</v>
      </c>
    </row>
    <row r="12" spans="2:7" x14ac:dyDescent="0.35">
      <c r="B12" s="3"/>
      <c r="C12" s="4" t="s">
        <v>2</v>
      </c>
      <c r="D12" s="34">
        <v>33.932042557999999</v>
      </c>
      <c r="E12" s="4"/>
      <c r="F12" s="5" t="s">
        <v>1</v>
      </c>
      <c r="G12" s="6"/>
    </row>
    <row r="13" spans="2:7" ht="16.2" x14ac:dyDescent="0.35">
      <c r="B13" s="7"/>
      <c r="C13" s="8" t="s">
        <v>3</v>
      </c>
      <c r="D13" s="35">
        <v>0.28688813010000003</v>
      </c>
      <c r="E13" s="8"/>
      <c r="F13" s="9" t="s">
        <v>6</v>
      </c>
      <c r="G13" s="10"/>
    </row>
    <row r="14" spans="2:7" ht="15" thickBot="1" x14ac:dyDescent="0.4">
      <c r="B14" s="11"/>
      <c r="C14" s="12" t="s">
        <v>4</v>
      </c>
      <c r="D14" s="36">
        <v>7.06418137E-2</v>
      </c>
      <c r="E14" s="12"/>
      <c r="F14" s="12"/>
      <c r="G14" s="13"/>
    </row>
    <row r="15" spans="2:7" ht="15" thickBot="1" x14ac:dyDescent="0.4"/>
    <row r="16" spans="2:7" ht="33.75" customHeight="1" x14ac:dyDescent="0.35">
      <c r="B16" s="14" t="s">
        <v>31</v>
      </c>
      <c r="C16" s="15" t="s">
        <v>18</v>
      </c>
      <c r="D16" s="15" t="s">
        <v>32</v>
      </c>
      <c r="E16" s="16" t="s">
        <v>36</v>
      </c>
      <c r="F16" s="16" t="s">
        <v>37</v>
      </c>
      <c r="G16" s="17" t="s">
        <v>0</v>
      </c>
    </row>
    <row r="17" spans="2:12" x14ac:dyDescent="0.35">
      <c r="B17" s="28">
        <v>5</v>
      </c>
      <c r="C17" s="19">
        <v>1</v>
      </c>
      <c r="D17" s="22">
        <v>27</v>
      </c>
      <c r="E17" s="20">
        <f t="shared" ref="E17:E39" si="0">+D$12*(B17/15.2)^D$13*EXP(-D$14*(B17/15.2))</f>
        <v>24.098355795255429</v>
      </c>
      <c r="F17" s="29"/>
      <c r="G17" s="21"/>
    </row>
    <row r="18" spans="2:12" x14ac:dyDescent="0.35">
      <c r="B18" s="28">
        <v>10</v>
      </c>
      <c r="C18" s="19"/>
      <c r="D18" s="22"/>
      <c r="E18" s="20">
        <f t="shared" si="0"/>
        <v>28.724829085867231</v>
      </c>
      <c r="F18" s="23">
        <f>+E18+((D20-D17-(E20-E17))/(B20-B17)*(B18-B17)+(D17-E17))</f>
        <v>30.190912048646826</v>
      </c>
      <c r="G18" s="21"/>
    </row>
    <row r="19" spans="2:12" x14ac:dyDescent="0.35">
      <c r="B19" s="28">
        <v>12</v>
      </c>
      <c r="C19" s="19">
        <v>2</v>
      </c>
      <c r="D19" s="22">
        <v>35</v>
      </c>
      <c r="E19" s="20">
        <f t="shared" si="0"/>
        <v>29.987264915614794</v>
      </c>
      <c r="F19" s="29"/>
      <c r="G19" s="21"/>
    </row>
    <row r="20" spans="2:12" x14ac:dyDescent="0.35">
      <c r="B20" s="28">
        <v>19</v>
      </c>
      <c r="C20" s="19">
        <v>3</v>
      </c>
      <c r="D20" s="22">
        <v>32</v>
      </c>
      <c r="E20" s="20">
        <f t="shared" si="0"/>
        <v>33.117927272757363</v>
      </c>
      <c r="F20" s="23"/>
      <c r="G20" s="21"/>
    </row>
    <row r="21" spans="2:12" x14ac:dyDescent="0.35">
      <c r="B21" s="28">
        <v>26</v>
      </c>
      <c r="C21" s="19">
        <v>4</v>
      </c>
      <c r="D21" s="22">
        <v>36</v>
      </c>
      <c r="E21" s="20">
        <f t="shared" si="0"/>
        <v>35.076344646017787</v>
      </c>
      <c r="F21" s="29"/>
      <c r="G21" s="21"/>
      <c r="I21" s="1" t="s">
        <v>25</v>
      </c>
    </row>
    <row r="22" spans="2:12" x14ac:dyDescent="0.35">
      <c r="B22" s="28">
        <v>33</v>
      </c>
      <c r="C22" s="19">
        <v>5</v>
      </c>
      <c r="D22" s="22">
        <v>43</v>
      </c>
      <c r="E22" s="20">
        <f t="shared" si="0"/>
        <v>36.357184781834682</v>
      </c>
      <c r="F22" s="23"/>
      <c r="G22" s="21"/>
    </row>
    <row r="23" spans="2:12" x14ac:dyDescent="0.35">
      <c r="B23" s="28">
        <v>37</v>
      </c>
      <c r="C23" s="19"/>
      <c r="D23" s="22"/>
      <c r="E23" s="20">
        <f t="shared" si="0"/>
        <v>36.878357479597412</v>
      </c>
      <c r="F23" s="23">
        <f>+E23+((D25-D22-(E25-E22))/(B25-B22)*(B23-B22)+(D22-E22))</f>
        <v>43.421910790924173</v>
      </c>
      <c r="G23" s="21"/>
    </row>
    <row r="24" spans="2:12" ht="15" thickBot="1" x14ac:dyDescent="0.4">
      <c r="B24" s="28">
        <v>40</v>
      </c>
      <c r="C24" s="19">
        <v>6</v>
      </c>
      <c r="D24" s="22">
        <v>47</v>
      </c>
      <c r="E24" s="20">
        <f t="shared" si="0"/>
        <v>37.190324688490769</v>
      </c>
      <c r="F24" s="29"/>
      <c r="G24" s="21"/>
    </row>
    <row r="25" spans="2:12" x14ac:dyDescent="0.35">
      <c r="B25" s="28">
        <v>47</v>
      </c>
      <c r="C25" s="19">
        <v>7</v>
      </c>
      <c r="D25" s="22">
        <v>44</v>
      </c>
      <c r="E25" s="20">
        <f t="shared" si="0"/>
        <v>37.704601455769634</v>
      </c>
      <c r="F25" s="29"/>
      <c r="G25" s="21"/>
      <c r="I25" s="38"/>
      <c r="J25" s="39"/>
      <c r="K25" s="39"/>
      <c r="L25" s="40"/>
    </row>
    <row r="26" spans="2:12" x14ac:dyDescent="0.35">
      <c r="B26" s="28">
        <v>54</v>
      </c>
      <c r="C26" s="19">
        <v>8</v>
      </c>
      <c r="D26" s="22">
        <v>50</v>
      </c>
      <c r="E26" s="20">
        <f t="shared" si="0"/>
        <v>37.980780497076026</v>
      </c>
      <c r="F26" s="29"/>
      <c r="G26" s="21"/>
      <c r="I26" s="41"/>
      <c r="J26" s="51" t="s">
        <v>30</v>
      </c>
      <c r="K26" s="42"/>
      <c r="L26" s="43"/>
    </row>
    <row r="27" spans="2:12" x14ac:dyDescent="0.35">
      <c r="B27" s="28">
        <v>68</v>
      </c>
      <c r="C27" s="19">
        <v>9</v>
      </c>
      <c r="D27" s="22">
        <v>37</v>
      </c>
      <c r="E27" s="20">
        <f t="shared" si="0"/>
        <v>38.021429247344543</v>
      </c>
      <c r="F27" s="23"/>
      <c r="G27" s="21"/>
      <c r="I27" s="41"/>
      <c r="J27" s="42"/>
      <c r="K27" s="42"/>
      <c r="L27" s="43"/>
    </row>
    <row r="28" spans="2:12" x14ac:dyDescent="0.35">
      <c r="B28" s="28">
        <v>75</v>
      </c>
      <c r="C28" s="19">
        <v>10</v>
      </c>
      <c r="D28" s="22">
        <v>44</v>
      </c>
      <c r="E28" s="20">
        <f t="shared" si="0"/>
        <v>37.853631896657838</v>
      </c>
      <c r="F28" s="23"/>
      <c r="G28" s="21"/>
      <c r="I28" s="41"/>
      <c r="J28" s="42"/>
      <c r="K28" s="44" t="s">
        <v>29</v>
      </c>
      <c r="L28" s="45">
        <v>6801.8324019000001</v>
      </c>
    </row>
    <row r="29" spans="2:12" x14ac:dyDescent="0.35">
      <c r="B29" s="28">
        <v>82</v>
      </c>
      <c r="C29" s="19">
        <v>11</v>
      </c>
      <c r="D29" s="22">
        <v>42</v>
      </c>
      <c r="E29" s="20">
        <f t="shared" si="0"/>
        <v>37.592098016572052</v>
      </c>
      <c r="F29" s="23"/>
      <c r="G29" s="21"/>
      <c r="I29" s="41"/>
      <c r="J29" s="42"/>
      <c r="K29" s="44" t="s">
        <v>28</v>
      </c>
      <c r="L29" s="45">
        <v>9245.9112408000001</v>
      </c>
    </row>
    <row r="30" spans="2:12" x14ac:dyDescent="0.35">
      <c r="B30" s="28">
        <v>89</v>
      </c>
      <c r="C30" s="19">
        <v>12</v>
      </c>
      <c r="D30" s="22">
        <v>49</v>
      </c>
      <c r="E30" s="20">
        <f t="shared" si="0"/>
        <v>37.254118596391422</v>
      </c>
      <c r="F30" s="23"/>
      <c r="G30" s="21"/>
      <c r="I30" s="41"/>
      <c r="J30" s="42"/>
      <c r="K30" s="44" t="s">
        <v>27</v>
      </c>
      <c r="L30" s="43">
        <v>201</v>
      </c>
    </row>
    <row r="31" spans="2:12" x14ac:dyDescent="0.35">
      <c r="B31" s="28">
        <v>110</v>
      </c>
      <c r="C31" s="19">
        <v>13</v>
      </c>
      <c r="D31" s="22">
        <v>45</v>
      </c>
      <c r="E31" s="20">
        <f t="shared" si="0"/>
        <v>35.907306208700611</v>
      </c>
      <c r="F31" s="23"/>
      <c r="G31" s="21"/>
      <c r="I31" s="41"/>
      <c r="J31" s="42"/>
      <c r="K31" s="44" t="s">
        <v>26</v>
      </c>
      <c r="L31" s="46">
        <f>+E39</f>
        <v>27.965248417969292</v>
      </c>
    </row>
    <row r="32" spans="2:12" ht="15" thickBot="1" x14ac:dyDescent="0.4">
      <c r="B32" s="28">
        <v>117</v>
      </c>
      <c r="C32" s="19">
        <v>14</v>
      </c>
      <c r="D32" s="22">
        <v>39</v>
      </c>
      <c r="E32" s="20">
        <f t="shared" si="0"/>
        <v>35.378614548662071</v>
      </c>
      <c r="F32" s="23"/>
      <c r="G32" s="21"/>
      <c r="I32" s="47"/>
      <c r="J32" s="48"/>
      <c r="K32" s="49" t="s">
        <v>34</v>
      </c>
      <c r="L32" s="50">
        <f>+(L29-L28)/(L31*(305-L30))</f>
        <v>0.84035577710961995</v>
      </c>
    </row>
    <row r="33" spans="2:9" x14ac:dyDescent="0.35">
      <c r="B33" s="28">
        <v>124</v>
      </c>
      <c r="C33" s="19">
        <v>15</v>
      </c>
      <c r="D33" s="22">
        <v>32</v>
      </c>
      <c r="E33" s="20">
        <f t="shared" si="0"/>
        <v>34.821865350415592</v>
      </c>
      <c r="F33" s="23"/>
      <c r="G33" s="33"/>
    </row>
    <row r="34" spans="2:9" x14ac:dyDescent="0.35">
      <c r="B34" s="28">
        <v>127</v>
      </c>
      <c r="C34" s="19"/>
      <c r="D34" s="22"/>
      <c r="E34" s="20">
        <f t="shared" si="0"/>
        <v>34.576050180962319</v>
      </c>
      <c r="F34" s="23">
        <f>+E34+((D36-D33-(E36-E33))/(B36-B33)*(B34-B33)+(D33-E33))</f>
        <v>32.871859721027874</v>
      </c>
      <c r="G34" s="21"/>
    </row>
    <row r="35" spans="2:9" x14ac:dyDescent="0.35">
      <c r="B35" s="28">
        <v>131</v>
      </c>
      <c r="C35" s="19">
        <v>16</v>
      </c>
      <c r="D35" s="22">
        <v>45</v>
      </c>
      <c r="E35" s="20">
        <f t="shared" si="0"/>
        <v>34.242507064896664</v>
      </c>
      <c r="F35" s="23"/>
      <c r="G35" s="33"/>
    </row>
    <row r="36" spans="2:9" x14ac:dyDescent="0.35">
      <c r="B36" s="28">
        <v>159</v>
      </c>
      <c r="C36" s="19">
        <v>17</v>
      </c>
      <c r="D36" s="22">
        <v>42</v>
      </c>
      <c r="E36" s="20">
        <f t="shared" si="0"/>
        <v>31.782324961468838</v>
      </c>
      <c r="F36" s="23"/>
      <c r="G36" s="21"/>
    </row>
    <row r="37" spans="2:9" x14ac:dyDescent="0.35">
      <c r="B37" s="28">
        <v>173</v>
      </c>
      <c r="C37" s="19">
        <v>18</v>
      </c>
      <c r="D37" s="22">
        <v>41</v>
      </c>
      <c r="E37" s="20">
        <f t="shared" si="0"/>
        <v>30.510022286888923</v>
      </c>
      <c r="F37" s="23"/>
      <c r="G37" s="21"/>
    </row>
    <row r="38" spans="2:9" x14ac:dyDescent="0.35">
      <c r="B38" s="28">
        <v>190</v>
      </c>
      <c r="C38" s="19"/>
      <c r="D38" s="22"/>
      <c r="E38" s="20">
        <f t="shared" si="0"/>
        <v>28.96066913713431</v>
      </c>
      <c r="F38" s="23">
        <f>+E38+((D40-D37-(E40-E37))/(B40-B37)*(B38-B37)+(D37-E37))</f>
        <v>40.481453908759192</v>
      </c>
      <c r="G38" s="21"/>
    </row>
    <row r="39" spans="2:9" x14ac:dyDescent="0.35">
      <c r="B39" s="28">
        <v>201</v>
      </c>
      <c r="C39" s="19">
        <v>19</v>
      </c>
      <c r="D39" s="22">
        <v>39</v>
      </c>
      <c r="E39" s="20">
        <f t="shared" si="0"/>
        <v>27.965248417969292</v>
      </c>
      <c r="F39" s="29"/>
      <c r="G39" s="21">
        <v>8285.6</v>
      </c>
    </row>
    <row r="40" spans="2:9" x14ac:dyDescent="0.35">
      <c r="B40" s="18"/>
      <c r="C40" s="19"/>
      <c r="D40" s="19"/>
      <c r="E40" s="24"/>
      <c r="F40" s="24" t="s">
        <v>24</v>
      </c>
      <c r="G40" s="37">
        <f>+L32</f>
        <v>0.84035577710961995</v>
      </c>
    </row>
    <row r="41" spans="2:9" ht="16.8" thickBot="1" x14ac:dyDescent="0.4">
      <c r="B41" s="27"/>
      <c r="C41" s="25"/>
      <c r="D41" s="25"/>
      <c r="E41" s="26"/>
      <c r="F41" s="31" t="s">
        <v>23</v>
      </c>
      <c r="G41" s="32">
        <f>+G39+G40*D39*(305-B39)</f>
        <v>11694.083031956619</v>
      </c>
      <c r="H41" s="1" t="s">
        <v>22</v>
      </c>
    </row>
    <row r="43" spans="2:9" x14ac:dyDescent="0.35">
      <c r="F43" s="24" t="s">
        <v>21</v>
      </c>
      <c r="G43" s="52" t="s">
        <v>33</v>
      </c>
      <c r="H43" s="52"/>
      <c r="I43" s="52"/>
    </row>
    <row r="44" spans="2:9" x14ac:dyDescent="0.35">
      <c r="F44" s="24" t="s">
        <v>19</v>
      </c>
      <c r="G44" s="24">
        <v>10332</v>
      </c>
      <c r="H44" s="24" t="s">
        <v>22</v>
      </c>
      <c r="I44" s="53"/>
    </row>
    <row r="45" spans="2:9" x14ac:dyDescent="0.35">
      <c r="F45" s="24" t="s">
        <v>20</v>
      </c>
      <c r="G45" s="24">
        <v>11665</v>
      </c>
      <c r="H45" s="54" t="s">
        <v>22</v>
      </c>
      <c r="I45" s="53"/>
    </row>
    <row r="46" spans="2:9" x14ac:dyDescent="0.35">
      <c r="C46"/>
    </row>
    <row r="51" spans="4:4" x14ac:dyDescent="0.35">
      <c r="D51"/>
    </row>
    <row r="55" spans="4:4" x14ac:dyDescent="0.35">
      <c r="D55"/>
    </row>
  </sheetData>
  <phoneticPr fontId="12" type="noConversion"/>
  <hyperlinks>
    <hyperlink ref="F5" r:id="rId1" xr:uid="{27EC63E3-C683-451B-A0AE-CE0B8AB38833}"/>
  </hyperlinks>
  <pageMargins left="0.75" right="0.75" top="1" bottom="1" header="0" footer="0"/>
  <pageSetup orientation="portrait" horizontalDpi="4294967293" verticalDpi="0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ejinterp</vt:lpstr>
    </vt:vector>
  </TitlesOfParts>
  <Company> PCVET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Bernardo Vargas</dc:creator>
  <cp:lastModifiedBy>REV</cp:lastModifiedBy>
  <dcterms:created xsi:type="dcterms:W3CDTF">2008-01-29T17:59:22Z</dcterms:created>
  <dcterms:modified xsi:type="dcterms:W3CDTF">2026-03-27T19:44:08Z</dcterms:modified>
</cp:coreProperties>
</file>